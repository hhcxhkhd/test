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<sst xmlns="http://schemas.openxmlformats.org/spreadsheetml/2006/main" count="24" uniqueCount="24">
  <si>
    <t>Nome da pessoa</t>
  </si>
  <si>
    <t>Valor inicial</t>
  </si>
  <si>
    <t>Valor ingresso</t>
  </si>
  <si>
    <t>Fila rápida</t>
  </si>
  <si>
    <t>Valor lanche</t>
  </si>
  <si>
    <t>Valor almoço</t>
  </si>
  <si>
    <t>Valor total</t>
  </si>
  <si>
    <t>Valor restante</t>
  </si>
  <si>
    <t>Mensagerm</t>
  </si>
  <si>
    <t>% de gasto</t>
  </si>
  <si>
    <t>João Grabriel</t>
  </si>
  <si>
    <t>Henrique</t>
  </si>
  <si>
    <t>Josemerson</t>
  </si>
  <si>
    <t>Geovana</t>
  </si>
  <si>
    <t>Maria Eduarda</t>
  </si>
  <si>
    <t>Nathalia</t>
  </si>
  <si>
    <t>Calebe</t>
  </si>
  <si>
    <t>Rafael</t>
  </si>
  <si>
    <t xml:space="preserve"> </t>
  </si>
  <si>
    <t>Gustavo</t>
  </si>
  <si>
    <t>Lucas</t>
  </si>
  <si>
    <t>Matheus</t>
  </si>
  <si>
    <t>Marcelo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</si>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</sst>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&quot;Open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2" numFmtId="0" xfId="0" applyAlignment="1" applyFill="1" applyFon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Valor total versus Nome da pessoa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'Página1'!$G$1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'Página1'!$A$2:$A$13</c:f>
            </c:strRef>
          </c:cat>
          <c:val>
            <c:numRef>
              <c:f>'Página1'!$G$2:$G$13</c:f>
              <c:numCache/>
            </c:numRef>
          </c:val>
        </c:ser>
        <c:axId val="1384295870"/>
        <c:axId val="343811490"/>
      </c:barChart>
      <c:catAx>
        <c:axId val="138429587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Nome da pessoa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3811490"/>
      </c:catAx>
      <c:valAx>
        <c:axId val="34381149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Valor 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429587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16</xdr:row>
      <xdr:rowOff>66675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>
        <v>50.0</v>
      </c>
      <c r="C2" s="1">
        <v>25.0</v>
      </c>
      <c r="D2" s="1">
        <v>2.0</v>
      </c>
      <c r="F2" s="1">
        <v>20.0</v>
      </c>
      <c r="G2" s="1">
        <f t="shared" ref="G2:G13" si="1">C2+D2*4+E2+F2</f>
        <v>53</v>
      </c>
      <c r="H2" s="2">
        <f t="shared" ref="H2:H13" si="2">B2-G2</f>
        <v>-3</v>
      </c>
      <c r="I2" s="3" t="str">
        <f t="shared" ref="I2:I13" si="3">IF(H2&lt;=0,"IIII! ja deu!","arrasou")</f>
        <v>IIII! ja deu!</v>
      </c>
      <c r="J2" s="4">
        <f t="shared" ref="J2:J13" si="4">G2/B2</f>
        <v>1.06</v>
      </c>
    </row>
    <row r="3">
      <c r="A3" s="1" t="s">
        <v>11</v>
      </c>
      <c r="B3" s="1">
        <v>50.0</v>
      </c>
      <c r="C3" s="1">
        <v>25.0</v>
      </c>
      <c r="E3" s="1">
        <v>15.0</v>
      </c>
      <c r="G3" s="1">
        <f t="shared" si="1"/>
        <v>40</v>
      </c>
      <c r="H3" s="2">
        <f t="shared" si="2"/>
        <v>10</v>
      </c>
      <c r="I3" s="3" t="str">
        <f t="shared" si="3"/>
        <v>arrasou</v>
      </c>
      <c r="J3" s="4">
        <f t="shared" si="4"/>
        <v>0.8</v>
      </c>
    </row>
    <row r="4">
      <c r="A4" s="1" t="s">
        <v>12</v>
      </c>
      <c r="B4" s="1">
        <v>50.0</v>
      </c>
      <c r="C4" s="1">
        <v>25.0</v>
      </c>
      <c r="F4" s="1">
        <v>20.0</v>
      </c>
      <c r="G4" s="1">
        <f t="shared" si="1"/>
        <v>45</v>
      </c>
      <c r="H4" s="2">
        <f t="shared" si="2"/>
        <v>5</v>
      </c>
      <c r="I4" s="3" t="str">
        <f t="shared" si="3"/>
        <v>arrasou</v>
      </c>
      <c r="J4" s="4">
        <f t="shared" si="4"/>
        <v>0.9</v>
      </c>
    </row>
    <row r="5">
      <c r="A5" s="1" t="s">
        <v>13</v>
      </c>
      <c r="B5" s="1">
        <v>50.0</v>
      </c>
      <c r="C5" s="1">
        <v>25.0</v>
      </c>
      <c r="D5" s="1">
        <v>2.0</v>
      </c>
      <c r="F5" s="1">
        <v>20.0</v>
      </c>
      <c r="G5" s="1">
        <f t="shared" si="1"/>
        <v>53</v>
      </c>
      <c r="H5" s="2">
        <f t="shared" si="2"/>
        <v>-3</v>
      </c>
      <c r="I5" s="3" t="str">
        <f t="shared" si="3"/>
        <v>IIII! ja deu!</v>
      </c>
      <c r="J5" s="4">
        <f t="shared" si="4"/>
        <v>1.06</v>
      </c>
    </row>
    <row r="6">
      <c r="A6" s="1" t="s">
        <v>14</v>
      </c>
      <c r="B6" s="1">
        <v>50.0</v>
      </c>
      <c r="C6" s="1">
        <v>25.0</v>
      </c>
      <c r="D6" s="1">
        <v>3.0</v>
      </c>
      <c r="F6" s="1">
        <v>20.0</v>
      </c>
      <c r="G6" s="1">
        <f t="shared" si="1"/>
        <v>57</v>
      </c>
      <c r="H6" s="2">
        <f t="shared" si="2"/>
        <v>-7</v>
      </c>
      <c r="I6" s="3" t="str">
        <f t="shared" si="3"/>
        <v>IIII! ja deu!</v>
      </c>
      <c r="J6" s="4">
        <f t="shared" si="4"/>
        <v>1.14</v>
      </c>
    </row>
    <row r="7">
      <c r="A7" s="1" t="s">
        <v>15</v>
      </c>
      <c r="B7" s="1">
        <v>50.0</v>
      </c>
      <c r="C7" s="1">
        <v>25.0</v>
      </c>
      <c r="D7" s="1">
        <v>6.0</v>
      </c>
      <c r="E7" s="1">
        <v>15.0</v>
      </c>
      <c r="G7" s="1">
        <f t="shared" si="1"/>
        <v>64</v>
      </c>
      <c r="H7" s="2">
        <f t="shared" si="2"/>
        <v>-14</v>
      </c>
      <c r="I7" s="3" t="str">
        <f t="shared" si="3"/>
        <v>IIII! ja deu!</v>
      </c>
      <c r="J7" s="4">
        <f t="shared" si="4"/>
        <v>1.28</v>
      </c>
    </row>
    <row r="8">
      <c r="A8" s="1" t="s">
        <v>16</v>
      </c>
      <c r="B8" s="1">
        <v>50.0</v>
      </c>
      <c r="C8" s="1">
        <v>25.0</v>
      </c>
      <c r="E8" s="1">
        <v>15.0</v>
      </c>
      <c r="G8" s="1">
        <f t="shared" si="1"/>
        <v>40</v>
      </c>
      <c r="H8" s="2">
        <f t="shared" si="2"/>
        <v>10</v>
      </c>
      <c r="I8" s="3" t="str">
        <f t="shared" si="3"/>
        <v>arrasou</v>
      </c>
      <c r="J8" s="4">
        <f t="shared" si="4"/>
        <v>0.8</v>
      </c>
    </row>
    <row r="9">
      <c r="A9" s="1" t="s">
        <v>17</v>
      </c>
      <c r="B9" s="1">
        <v>50.0</v>
      </c>
      <c r="C9" s="1">
        <v>25.0</v>
      </c>
      <c r="D9" s="1">
        <v>7.0</v>
      </c>
      <c r="E9" s="1">
        <v>15.0</v>
      </c>
      <c r="G9" s="1">
        <f t="shared" si="1"/>
        <v>68</v>
      </c>
      <c r="H9" s="2">
        <f t="shared" si="2"/>
        <v>-18</v>
      </c>
      <c r="I9" s="3" t="str">
        <f t="shared" si="3"/>
        <v>IIII! ja deu!</v>
      </c>
      <c r="J9" s="4">
        <f t="shared" si="4"/>
        <v>1.36</v>
      </c>
      <c r="L9" s="1" t="s">
        <v>18</v>
      </c>
    </row>
    <row r="10">
      <c r="A10" s="1" t="s">
        <v>19</v>
      </c>
      <c r="B10" s="1">
        <v>50.0</v>
      </c>
      <c r="C10" s="1">
        <v>25.0</v>
      </c>
      <c r="F10" s="1">
        <v>20.0</v>
      </c>
      <c r="G10" s="1">
        <f t="shared" si="1"/>
        <v>45</v>
      </c>
      <c r="H10" s="2">
        <f t="shared" si="2"/>
        <v>5</v>
      </c>
      <c r="I10" s="3" t="str">
        <f t="shared" si="3"/>
        <v>arrasou</v>
      </c>
      <c r="J10" s="4">
        <f t="shared" si="4"/>
        <v>0.9</v>
      </c>
    </row>
    <row r="11">
      <c r="A11" s="1" t="s">
        <v>20</v>
      </c>
      <c r="B11" s="1">
        <v>50.0</v>
      </c>
      <c r="C11" s="1">
        <v>25.0</v>
      </c>
      <c r="E11" s="1">
        <v>15.0</v>
      </c>
      <c r="G11" s="1">
        <f t="shared" si="1"/>
        <v>40</v>
      </c>
      <c r="H11" s="2">
        <f t="shared" si="2"/>
        <v>10</v>
      </c>
      <c r="I11" s="3" t="str">
        <f t="shared" si="3"/>
        <v>arrasou</v>
      </c>
      <c r="J11" s="4">
        <f t="shared" si="4"/>
        <v>0.8</v>
      </c>
    </row>
    <row r="12">
      <c r="A12" s="1" t="s">
        <v>21</v>
      </c>
      <c r="B12" s="1">
        <v>50.0</v>
      </c>
      <c r="C12" s="1">
        <v>25.0</v>
      </c>
      <c r="D12" s="1">
        <v>5.0</v>
      </c>
      <c r="E12" s="1">
        <v>15.0</v>
      </c>
      <c r="G12" s="1">
        <f t="shared" si="1"/>
        <v>60</v>
      </c>
      <c r="H12" s="2">
        <f t="shared" si="2"/>
        <v>-10</v>
      </c>
      <c r="I12" s="3" t="str">
        <f t="shared" si="3"/>
        <v>IIII! ja deu!</v>
      </c>
      <c r="J12" s="4">
        <f t="shared" si="4"/>
        <v>1.2</v>
      </c>
    </row>
    <row r="13">
      <c r="A13" s="1" t="s">
        <v>22</v>
      </c>
      <c r="B13" s="1">
        <v>50.0</v>
      </c>
      <c r="C13" s="1">
        <v>25.0</v>
      </c>
      <c r="D13" s="1">
        <v>8.0</v>
      </c>
      <c r="F13" s="1">
        <v>20.0</v>
      </c>
      <c r="G13" s="1">
        <f t="shared" si="1"/>
        <v>77</v>
      </c>
      <c r="H13" s="2">
        <f t="shared" si="2"/>
        <v>-27</v>
      </c>
      <c r="I13" s="3" t="str">
        <f t="shared" si="3"/>
        <v>IIII! ja deu!</v>
      </c>
      <c r="J13" s="4">
        <f t="shared" si="4"/>
        <v>1.54</v>
      </c>
    </row>
    <row r="14">
      <c r="J14" s="4"/>
    </row>
    <row r="16">
      <c r="A16" s="1" t="s">
        <v>23</v>
      </c>
      <c r="B16" s="2">
        <f>SUM(B2:B13)</f>
        <v>600</v>
      </c>
      <c r="C16" s="1">
        <v>300.0</v>
      </c>
      <c r="D16" s="2">
        <f t="shared" ref="D16:F16" si="5">COUNTA(D2:D13)</f>
        <v>7</v>
      </c>
      <c r="E16" s="2">
        <f t="shared" si="5"/>
        <v>6</v>
      </c>
      <c r="F16" s="2">
        <f t="shared" si="5"/>
        <v>6</v>
      </c>
      <c r="G16" s="2">
        <f>MAX(G2:G13)</f>
        <v>77</v>
      </c>
    </row>
    <row r="17">
      <c r="G17" s="2">
        <f>MIN(G2:G13)</f>
        <v>40</v>
      </c>
    </row>
  </sheetData>
  <drawing r:id="rId1"/>
</worksheet>
</file>